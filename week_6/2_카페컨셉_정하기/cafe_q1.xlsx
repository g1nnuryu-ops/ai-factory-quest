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" sheetId="1" state="visible" r:id="rId1"/>
    <sheet xmlns:r="http://schemas.openxmlformats.org/officeDocument/2006/relationships" name="월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</font>
    <font>
      <name val="맑은 고딕"/>
      <color rgb="000000FF"/>
    </font>
    <font>
      <name val="맑은 고딕"/>
      <b val="1"/>
      <color rgb="002C2A25"/>
      <sz val="15"/>
    </font>
    <font>
      <name val="맑은 고딕"/>
      <i val="1"/>
      <color rgb="006E685E"/>
      <sz val="9"/>
    </font>
    <font>
      <name val="맑은 고딕"/>
      <b val="1"/>
      <color rgb="003E5A38"/>
      <sz val="11"/>
    </font>
    <font>
      <name val="맑은 고딕"/>
      <b val="1"/>
      <color rgb="002C2A25"/>
    </font>
    <font>
      <name val="맑은 고딕"/>
      <color rgb="00008000"/>
    </font>
    <font>
      <name val="맑은 고딕"/>
      <color rgb="00000000"/>
    </font>
  </fonts>
  <fills count="5">
    <fill>
      <patternFill/>
    </fill>
    <fill>
      <patternFill patternType="gray125"/>
    </fill>
    <fill>
      <patternFill patternType="solid">
        <fgColor rgb="007E9E76"/>
      </patternFill>
    </fill>
    <fill>
      <patternFill patternType="solid">
        <fgColor rgb="00E5EEDF"/>
      </patternFill>
    </fill>
    <fill>
      <patternFill patternType="solid">
        <fgColor rgb="00F2F5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영업이익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'월별요약'!A8</f>
            </strRef>
          </tx>
          <spPr>
            <a:solidFill xmlns:a="http://schemas.openxmlformats.org/drawingml/2006/main">
              <a:srgbClr val="7E9E76"/>
            </a:solidFill>
            <a:ln xmlns:a="http://schemas.openxmlformats.org/drawingml/2006/main">
              <a:prstDash val="solid"/>
            </a:ln>
          </spPr>
          <cat>
            <numRef>
              <f>'월별요약'!$B$5:$D$5</f>
            </numRef>
          </cat>
          <val>
            <numRef>
              <f>'월별요약'!$B$8:$D$8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</cols>
  <sheetData>
    <row r="1">
      <c r="A1" s="1" t="inlineStr">
        <is>
          <t>월</t>
        </is>
      </c>
      <c r="B1" s="1" t="inlineStr">
        <is>
          <t>유형</t>
        </is>
      </c>
      <c r="C1" s="1" t="inlineStr">
        <is>
          <t>카테고리</t>
        </is>
      </c>
      <c r="D1" s="1" t="inlineStr">
        <is>
          <t>금액</t>
        </is>
      </c>
    </row>
    <row r="2">
      <c r="A2" s="2" t="inlineStr">
        <is>
          <t>1월</t>
        </is>
      </c>
      <c r="B2" s="2" t="inlineStr">
        <is>
          <t>매출</t>
        </is>
      </c>
      <c r="C2" s="3" t="inlineStr">
        <is>
          <t>브런치</t>
        </is>
      </c>
      <c r="D2" s="4" t="n">
        <v>5200000</v>
      </c>
    </row>
    <row r="3">
      <c r="A3" s="2" t="inlineStr">
        <is>
          <t>1월</t>
        </is>
      </c>
      <c r="B3" s="2" t="inlineStr">
        <is>
          <t>매출</t>
        </is>
      </c>
      <c r="C3" s="3" t="inlineStr">
        <is>
          <t>키즈</t>
        </is>
      </c>
      <c r="D3" s="4" t="n">
        <v>1800000</v>
      </c>
    </row>
    <row r="4">
      <c r="A4" s="2" t="inlineStr">
        <is>
          <t>1월</t>
        </is>
      </c>
      <c r="B4" s="2" t="inlineStr">
        <is>
          <t>매출</t>
        </is>
      </c>
      <c r="C4" s="3" t="inlineStr">
        <is>
          <t>커피·음료</t>
        </is>
      </c>
      <c r="D4" s="4" t="n">
        <v>3400000</v>
      </c>
    </row>
    <row r="5">
      <c r="A5" s="2" t="inlineStr">
        <is>
          <t>1월</t>
        </is>
      </c>
      <c r="B5" s="2" t="inlineStr">
        <is>
          <t>매출</t>
        </is>
      </c>
      <c r="C5" s="3" t="inlineStr">
        <is>
          <t>디저트</t>
        </is>
      </c>
      <c r="D5" s="4" t="n">
        <v>1100000</v>
      </c>
    </row>
    <row r="6">
      <c r="A6" s="2" t="inlineStr">
        <is>
          <t>1월</t>
        </is>
      </c>
      <c r="B6" s="2" t="inlineStr">
        <is>
          <t>매출</t>
        </is>
      </c>
      <c r="C6" s="3" t="inlineStr">
        <is>
          <t>놀이존</t>
        </is>
      </c>
      <c r="D6" s="4" t="n">
        <v>4500000</v>
      </c>
    </row>
    <row r="7">
      <c r="A7" s="2" t="inlineStr">
        <is>
          <t>1월</t>
        </is>
      </c>
      <c r="B7" s="2" t="inlineStr">
        <is>
          <t>비용</t>
        </is>
      </c>
      <c r="C7" s="3" t="inlineStr">
        <is>
          <t>임대료</t>
        </is>
      </c>
      <c r="D7" s="4" t="n">
        <v>3000000</v>
      </c>
    </row>
    <row r="8">
      <c r="A8" s="2" t="inlineStr">
        <is>
          <t>1월</t>
        </is>
      </c>
      <c r="B8" s="2" t="inlineStr">
        <is>
          <t>비용</t>
        </is>
      </c>
      <c r="C8" s="3" t="inlineStr">
        <is>
          <t>인건비</t>
        </is>
      </c>
      <c r="D8" s="4" t="n">
        <v>4800000</v>
      </c>
    </row>
    <row r="9">
      <c r="A9" s="2" t="inlineStr">
        <is>
          <t>1월</t>
        </is>
      </c>
      <c r="B9" s="2" t="inlineStr">
        <is>
          <t>비용</t>
        </is>
      </c>
      <c r="C9" s="3" t="inlineStr">
        <is>
          <t>식자재</t>
        </is>
      </c>
      <c r="D9" s="4" t="n">
        <v>3600000</v>
      </c>
    </row>
    <row r="10">
      <c r="A10" s="2" t="inlineStr">
        <is>
          <t>1월</t>
        </is>
      </c>
      <c r="B10" s="2" t="inlineStr">
        <is>
          <t>비용</t>
        </is>
      </c>
      <c r="C10" s="3" t="inlineStr">
        <is>
          <t>공과금</t>
        </is>
      </c>
      <c r="D10" s="4" t="n">
        <v>900000</v>
      </c>
    </row>
    <row r="11">
      <c r="A11" s="2" t="inlineStr">
        <is>
          <t>1월</t>
        </is>
      </c>
      <c r="B11" s="2" t="inlineStr">
        <is>
          <t>비용</t>
        </is>
      </c>
      <c r="C11" s="3" t="inlineStr">
        <is>
          <t>마케팅</t>
        </is>
      </c>
      <c r="D11" s="4" t="n">
        <v>800000</v>
      </c>
    </row>
    <row r="12">
      <c r="A12" s="2" t="inlineStr">
        <is>
          <t>1월</t>
        </is>
      </c>
      <c r="B12" s="2" t="inlineStr">
        <is>
          <t>비용</t>
        </is>
      </c>
      <c r="C12" s="3" t="inlineStr">
        <is>
          <t>기타운영</t>
        </is>
      </c>
      <c r="D12" s="4" t="n">
        <v>500000</v>
      </c>
    </row>
    <row r="13">
      <c r="A13" s="2" t="inlineStr">
        <is>
          <t>2월</t>
        </is>
      </c>
      <c r="B13" s="2" t="inlineStr">
        <is>
          <t>매출</t>
        </is>
      </c>
      <c r="C13" s="3" t="inlineStr">
        <is>
          <t>브런치</t>
        </is>
      </c>
      <c r="D13" s="4" t="n">
        <v>5800000</v>
      </c>
    </row>
    <row r="14">
      <c r="A14" s="2" t="inlineStr">
        <is>
          <t>2월</t>
        </is>
      </c>
      <c r="B14" s="2" t="inlineStr">
        <is>
          <t>매출</t>
        </is>
      </c>
      <c r="C14" s="3" t="inlineStr">
        <is>
          <t>키즈</t>
        </is>
      </c>
      <c r="D14" s="4" t="n">
        <v>2100000</v>
      </c>
    </row>
    <row r="15">
      <c r="A15" s="2" t="inlineStr">
        <is>
          <t>2월</t>
        </is>
      </c>
      <c r="B15" s="2" t="inlineStr">
        <is>
          <t>매출</t>
        </is>
      </c>
      <c r="C15" s="3" t="inlineStr">
        <is>
          <t>커피·음료</t>
        </is>
      </c>
      <c r="D15" s="4" t="n">
        <v>3700000</v>
      </c>
    </row>
    <row r="16">
      <c r="A16" s="2" t="inlineStr">
        <is>
          <t>2월</t>
        </is>
      </c>
      <c r="B16" s="2" t="inlineStr">
        <is>
          <t>매출</t>
        </is>
      </c>
      <c r="C16" s="3" t="inlineStr">
        <is>
          <t>디저트</t>
        </is>
      </c>
      <c r="D16" s="4" t="n">
        <v>1250000</v>
      </c>
    </row>
    <row r="17">
      <c r="A17" s="2" t="inlineStr">
        <is>
          <t>2월</t>
        </is>
      </c>
      <c r="B17" s="2" t="inlineStr">
        <is>
          <t>매출</t>
        </is>
      </c>
      <c r="C17" s="3" t="inlineStr">
        <is>
          <t>놀이존</t>
        </is>
      </c>
      <c r="D17" s="4" t="n">
        <v>5200000</v>
      </c>
    </row>
    <row r="18">
      <c r="A18" s="2" t="inlineStr">
        <is>
          <t>2월</t>
        </is>
      </c>
      <c r="B18" s="2" t="inlineStr">
        <is>
          <t>비용</t>
        </is>
      </c>
      <c r="C18" s="3" t="inlineStr">
        <is>
          <t>임대료</t>
        </is>
      </c>
      <c r="D18" s="4" t="n">
        <v>3000000</v>
      </c>
    </row>
    <row r="19">
      <c r="A19" s="2" t="inlineStr">
        <is>
          <t>2월</t>
        </is>
      </c>
      <c r="B19" s="2" t="inlineStr">
        <is>
          <t>비용</t>
        </is>
      </c>
      <c r="C19" s="3" t="inlineStr">
        <is>
          <t>인건비</t>
        </is>
      </c>
      <c r="D19" s="4" t="n">
        <v>5000000</v>
      </c>
    </row>
    <row r="20">
      <c r="A20" s="2" t="inlineStr">
        <is>
          <t>2월</t>
        </is>
      </c>
      <c r="B20" s="2" t="inlineStr">
        <is>
          <t>비용</t>
        </is>
      </c>
      <c r="C20" s="3" t="inlineStr">
        <is>
          <t>식자재</t>
        </is>
      </c>
      <c r="D20" s="4" t="n">
        <v>4000000</v>
      </c>
    </row>
    <row r="21">
      <c r="A21" s="2" t="inlineStr">
        <is>
          <t>2월</t>
        </is>
      </c>
      <c r="B21" s="2" t="inlineStr">
        <is>
          <t>비용</t>
        </is>
      </c>
      <c r="C21" s="3" t="inlineStr">
        <is>
          <t>공과금</t>
        </is>
      </c>
      <c r="D21" s="4" t="n">
        <v>850000</v>
      </c>
    </row>
    <row r="22">
      <c r="A22" s="2" t="inlineStr">
        <is>
          <t>2월</t>
        </is>
      </c>
      <c r="B22" s="2" t="inlineStr">
        <is>
          <t>비용</t>
        </is>
      </c>
      <c r="C22" s="3" t="inlineStr">
        <is>
          <t>마케팅</t>
        </is>
      </c>
      <c r="D22" s="4" t="n">
        <v>600000</v>
      </c>
    </row>
    <row r="23">
      <c r="A23" s="2" t="inlineStr">
        <is>
          <t>2월</t>
        </is>
      </c>
      <c r="B23" s="2" t="inlineStr">
        <is>
          <t>비용</t>
        </is>
      </c>
      <c r="C23" s="3" t="inlineStr">
        <is>
          <t>기타운영</t>
        </is>
      </c>
      <c r="D23" s="4" t="n">
        <v>550000</v>
      </c>
    </row>
    <row r="24">
      <c r="A24" s="2" t="inlineStr">
        <is>
          <t>3월</t>
        </is>
      </c>
      <c r="B24" s="2" t="inlineStr">
        <is>
          <t>매출</t>
        </is>
      </c>
      <c r="C24" s="3" t="inlineStr">
        <is>
          <t>브런치</t>
        </is>
      </c>
      <c r="D24" s="4" t="n">
        <v>7100000</v>
      </c>
    </row>
    <row r="25">
      <c r="A25" s="2" t="inlineStr">
        <is>
          <t>3월</t>
        </is>
      </c>
      <c r="B25" s="2" t="inlineStr">
        <is>
          <t>매출</t>
        </is>
      </c>
      <c r="C25" s="3" t="inlineStr">
        <is>
          <t>키즈</t>
        </is>
      </c>
      <c r="D25" s="4" t="n">
        <v>2600000</v>
      </c>
    </row>
    <row r="26">
      <c r="A26" s="2" t="inlineStr">
        <is>
          <t>3월</t>
        </is>
      </c>
      <c r="B26" s="2" t="inlineStr">
        <is>
          <t>매출</t>
        </is>
      </c>
      <c r="C26" s="3" t="inlineStr">
        <is>
          <t>커피·음료</t>
        </is>
      </c>
      <c r="D26" s="4" t="n">
        <v>4300000</v>
      </c>
    </row>
    <row r="27">
      <c r="A27" s="2" t="inlineStr">
        <is>
          <t>3월</t>
        </is>
      </c>
      <c r="B27" s="2" t="inlineStr">
        <is>
          <t>매출</t>
        </is>
      </c>
      <c r="C27" s="3" t="inlineStr">
        <is>
          <t>디저트</t>
        </is>
      </c>
      <c r="D27" s="4" t="n">
        <v>1500000</v>
      </c>
    </row>
    <row r="28">
      <c r="A28" s="2" t="inlineStr">
        <is>
          <t>3월</t>
        </is>
      </c>
      <c r="B28" s="2" t="inlineStr">
        <is>
          <t>매출</t>
        </is>
      </c>
      <c r="C28" s="3" t="inlineStr">
        <is>
          <t>놀이존</t>
        </is>
      </c>
      <c r="D28" s="4" t="n">
        <v>6400000</v>
      </c>
    </row>
    <row r="29">
      <c r="A29" s="2" t="inlineStr">
        <is>
          <t>3월</t>
        </is>
      </c>
      <c r="B29" s="2" t="inlineStr">
        <is>
          <t>비용</t>
        </is>
      </c>
      <c r="C29" s="3" t="inlineStr">
        <is>
          <t>임대료</t>
        </is>
      </c>
      <c r="D29" s="4" t="n">
        <v>3000000</v>
      </c>
    </row>
    <row r="30">
      <c r="A30" s="2" t="inlineStr">
        <is>
          <t>3월</t>
        </is>
      </c>
      <c r="B30" s="2" t="inlineStr">
        <is>
          <t>비용</t>
        </is>
      </c>
      <c r="C30" s="3" t="inlineStr">
        <is>
          <t>인건비</t>
        </is>
      </c>
      <c r="D30" s="4" t="n">
        <v>5400000</v>
      </c>
    </row>
    <row r="31">
      <c r="A31" s="2" t="inlineStr">
        <is>
          <t>3월</t>
        </is>
      </c>
      <c r="B31" s="2" t="inlineStr">
        <is>
          <t>비용</t>
        </is>
      </c>
      <c r="C31" s="3" t="inlineStr">
        <is>
          <t>식자재</t>
        </is>
      </c>
      <c r="D31" s="4" t="n">
        <v>4700000</v>
      </c>
    </row>
    <row r="32">
      <c r="A32" s="2" t="inlineStr">
        <is>
          <t>3월</t>
        </is>
      </c>
      <c r="B32" s="2" t="inlineStr">
        <is>
          <t>비용</t>
        </is>
      </c>
      <c r="C32" s="3" t="inlineStr">
        <is>
          <t>공과금</t>
        </is>
      </c>
      <c r="D32" s="4" t="n">
        <v>800000</v>
      </c>
    </row>
    <row r="33">
      <c r="A33" s="2" t="inlineStr">
        <is>
          <t>3월</t>
        </is>
      </c>
      <c r="B33" s="2" t="inlineStr">
        <is>
          <t>비용</t>
        </is>
      </c>
      <c r="C33" s="3" t="inlineStr">
        <is>
          <t>마케팅</t>
        </is>
      </c>
      <c r="D33" s="4" t="n">
        <v>700000</v>
      </c>
    </row>
    <row r="34">
      <c r="A34" s="2" t="inlineStr">
        <is>
          <t>3월</t>
        </is>
      </c>
      <c r="B34" s="2" t="inlineStr">
        <is>
          <t>비용</t>
        </is>
      </c>
      <c r="C34" s="3" t="inlineStr">
        <is>
          <t>기타운영</t>
        </is>
      </c>
      <c r="D34" s="4" t="n">
        <v>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 ht="26" customHeight="1">
      <c r="A1" s="5" t="inlineStr">
        <is>
          <t>놀담 카페 · 2026 1분기(Q1) 월별 손익 리포트</t>
        </is>
      </c>
    </row>
    <row r="2">
      <c r="A2" s="6" t="inlineStr">
        <is>
          <t>단위: 원  ·  요약·피벗은 SUMIFS 수식으로 자동 계산 (Excel에서 열면 재계산)</t>
        </is>
      </c>
    </row>
    <row r="4">
      <c r="A4" s="7" t="inlineStr">
        <is>
          <t>①  월별 손익 요약</t>
        </is>
      </c>
      <c r="B4" s="8" t="n"/>
      <c r="C4" s="8" t="n"/>
      <c r="D4" s="8" t="n"/>
      <c r="E4" s="8" t="n"/>
    </row>
    <row r="5">
      <c r="A5" s="1" t="inlineStr">
        <is>
          <t>구분</t>
        </is>
      </c>
      <c r="B5" s="1" t="inlineStr">
        <is>
          <t>1월</t>
        </is>
      </c>
      <c r="C5" s="1" t="inlineStr">
        <is>
          <t>2월</t>
        </is>
      </c>
      <c r="D5" s="1" t="inlineStr">
        <is>
          <t>3월</t>
        </is>
      </c>
      <c r="E5" s="1" t="inlineStr">
        <is>
          <t>분기 합계</t>
        </is>
      </c>
    </row>
    <row r="6">
      <c r="A6" s="9" t="inlineStr">
        <is>
          <t>매출</t>
        </is>
      </c>
      <c r="B6" s="10">
        <f>SUMIFS('원본'!$D$2:$D$34,'원본'!$B$2:$B$34,"매출",'원본'!$A$2:$A$34,B$5)</f>
        <v/>
      </c>
      <c r="C6" s="10">
        <f>SUMIFS('원본'!$D$2:$D$34,'원본'!$B$2:$B$34,"매출",'원본'!$A$2:$A$34,C$5)</f>
        <v/>
      </c>
      <c r="D6" s="10">
        <f>SUMIFS('원본'!$D$2:$D$34,'원본'!$B$2:$B$34,"매출",'원본'!$A$2:$A$34,D$5)</f>
        <v/>
      </c>
      <c r="E6" s="11">
        <f>SUM(B6:D6)</f>
        <v/>
      </c>
    </row>
    <row r="7">
      <c r="A7" s="9" t="inlineStr">
        <is>
          <t>비용</t>
        </is>
      </c>
      <c r="B7" s="10">
        <f>SUMIFS('원본'!$D$2:$D$34,'원본'!$B$2:$B$34,"비용",'원본'!$A$2:$A$34,B$5)</f>
        <v/>
      </c>
      <c r="C7" s="10">
        <f>SUMIFS('원본'!$D$2:$D$34,'원본'!$B$2:$B$34,"비용",'원본'!$A$2:$A$34,C$5)</f>
        <v/>
      </c>
      <c r="D7" s="10">
        <f>SUMIFS('원본'!$D$2:$D$34,'원본'!$B$2:$B$34,"비용",'원본'!$A$2:$A$34,D$5)</f>
        <v/>
      </c>
      <c r="E7" s="11">
        <f>SUM(B7:D7)</f>
        <v/>
      </c>
    </row>
    <row r="8">
      <c r="A8" s="12" t="inlineStr">
        <is>
          <t>영업이익</t>
        </is>
      </c>
      <c r="B8" s="13">
        <f>B6-B7</f>
        <v/>
      </c>
      <c r="C8" s="13">
        <f>C6-C7</f>
        <v/>
      </c>
      <c r="D8" s="13">
        <f>D6-D7</f>
        <v/>
      </c>
      <c r="E8" s="13">
        <f>E6-E7</f>
        <v/>
      </c>
    </row>
    <row r="9">
      <c r="A9" s="9" t="inlineStr">
        <is>
          <t>영업이익률</t>
        </is>
      </c>
      <c r="B9" s="14">
        <f>IFERROR(B8/B6,0)</f>
        <v/>
      </c>
      <c r="C9" s="14">
        <f>IFERROR(C8/C6,0)</f>
        <v/>
      </c>
      <c r="D9" s="14">
        <f>IFERROR(D8/D6,0)</f>
        <v/>
      </c>
      <c r="E9" s="14">
        <f>IFERROR(E8/E6,0)</f>
        <v/>
      </c>
    </row>
    <row r="11">
      <c r="A11" s="7" t="inlineStr">
        <is>
          <t>②  카테고리별 매출 (피벗)</t>
        </is>
      </c>
      <c r="B11" s="8" t="n"/>
      <c r="C11" s="8" t="n"/>
      <c r="D11" s="8" t="n"/>
      <c r="E11" s="8" t="n"/>
    </row>
    <row r="12">
      <c r="A12" s="1" t="inlineStr">
        <is>
          <t>카테고리</t>
        </is>
      </c>
      <c r="B12" s="1" t="inlineStr">
        <is>
          <t>1월</t>
        </is>
      </c>
      <c r="C12" s="1" t="inlineStr">
        <is>
          <t>2월</t>
        </is>
      </c>
      <c r="D12" s="1" t="inlineStr">
        <is>
          <t>3월</t>
        </is>
      </c>
      <c r="E12" s="1" t="inlineStr">
        <is>
          <t>합계</t>
        </is>
      </c>
    </row>
    <row r="13">
      <c r="A13" s="9" t="inlineStr">
        <is>
          <t>브런치</t>
        </is>
      </c>
      <c r="B13" s="10">
        <f>SUMIFS('원본'!$D$2:$D$34,'원본'!$C$2:$C$34,$A13,'원본'!$A$2:$A$34,B$12)</f>
        <v/>
      </c>
      <c r="C13" s="10">
        <f>SUMIFS('원본'!$D$2:$D$34,'원본'!$C$2:$C$34,$A13,'원본'!$A$2:$A$34,C$12)</f>
        <v/>
      </c>
      <c r="D13" s="10">
        <f>SUMIFS('원본'!$D$2:$D$34,'원본'!$C$2:$C$34,$A13,'원본'!$A$2:$A$34,D$12)</f>
        <v/>
      </c>
      <c r="E13" s="11">
        <f>SUM(B13:D13)</f>
        <v/>
      </c>
    </row>
    <row r="14">
      <c r="A14" s="9" t="inlineStr">
        <is>
          <t>키즈</t>
        </is>
      </c>
      <c r="B14" s="10">
        <f>SUMIFS('원본'!$D$2:$D$34,'원본'!$C$2:$C$34,$A14,'원본'!$A$2:$A$34,B$12)</f>
        <v/>
      </c>
      <c r="C14" s="10">
        <f>SUMIFS('원본'!$D$2:$D$34,'원본'!$C$2:$C$34,$A14,'원본'!$A$2:$A$34,C$12)</f>
        <v/>
      </c>
      <c r="D14" s="10">
        <f>SUMIFS('원본'!$D$2:$D$34,'원본'!$C$2:$C$34,$A14,'원본'!$A$2:$A$34,D$12)</f>
        <v/>
      </c>
      <c r="E14" s="11">
        <f>SUM(B14:D14)</f>
        <v/>
      </c>
    </row>
    <row r="15">
      <c r="A15" s="9" t="inlineStr">
        <is>
          <t>커피·음료</t>
        </is>
      </c>
      <c r="B15" s="10">
        <f>SUMIFS('원본'!$D$2:$D$34,'원본'!$C$2:$C$34,$A15,'원본'!$A$2:$A$34,B$12)</f>
        <v/>
      </c>
      <c r="C15" s="10">
        <f>SUMIFS('원본'!$D$2:$D$34,'원본'!$C$2:$C$34,$A15,'원본'!$A$2:$A$34,C$12)</f>
        <v/>
      </c>
      <c r="D15" s="10">
        <f>SUMIFS('원본'!$D$2:$D$34,'원본'!$C$2:$C$34,$A15,'원본'!$A$2:$A$34,D$12)</f>
        <v/>
      </c>
      <c r="E15" s="11">
        <f>SUM(B15:D15)</f>
        <v/>
      </c>
    </row>
    <row r="16">
      <c r="A16" s="9" t="inlineStr">
        <is>
          <t>디저트</t>
        </is>
      </c>
      <c r="B16" s="10">
        <f>SUMIFS('원본'!$D$2:$D$34,'원본'!$C$2:$C$34,$A16,'원본'!$A$2:$A$34,B$12)</f>
        <v/>
      </c>
      <c r="C16" s="10">
        <f>SUMIFS('원본'!$D$2:$D$34,'원본'!$C$2:$C$34,$A16,'원본'!$A$2:$A$34,C$12)</f>
        <v/>
      </c>
      <c r="D16" s="10">
        <f>SUMIFS('원본'!$D$2:$D$34,'원본'!$C$2:$C$34,$A16,'원본'!$A$2:$A$34,D$12)</f>
        <v/>
      </c>
      <c r="E16" s="11">
        <f>SUM(B16:D16)</f>
        <v/>
      </c>
    </row>
    <row r="17">
      <c r="A17" s="9" t="inlineStr">
        <is>
          <t>놀이존</t>
        </is>
      </c>
      <c r="B17" s="10">
        <f>SUMIFS('원본'!$D$2:$D$34,'원본'!$C$2:$C$34,$A17,'원본'!$A$2:$A$34,B$12)</f>
        <v/>
      </c>
      <c r="C17" s="10">
        <f>SUMIFS('원본'!$D$2:$D$34,'원본'!$C$2:$C$34,$A17,'원본'!$A$2:$A$34,C$12)</f>
        <v/>
      </c>
      <c r="D17" s="10">
        <f>SUMIFS('원본'!$D$2:$D$34,'원본'!$C$2:$C$34,$A17,'원본'!$A$2:$A$34,D$12)</f>
        <v/>
      </c>
      <c r="E17" s="11">
        <f>SUM(B17:D17)</f>
        <v/>
      </c>
    </row>
    <row r="18">
      <c r="A18" s="12" t="inlineStr">
        <is>
          <t>매출 합계</t>
        </is>
      </c>
      <c r="B18" s="13">
        <f>SUM(B13:B17)</f>
        <v/>
      </c>
      <c r="C18" s="13">
        <f>SUM(C13:C17)</f>
        <v/>
      </c>
      <c r="D18" s="13">
        <f>SUM(D13:D17)</f>
        <v/>
      </c>
      <c r="E18" s="13">
        <f>SUM(E13:E17)</f>
        <v/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2026-07-03T03:11:45Z</dcterms:created>
  <dcterms:modified xmlns:dcterms="http://purl.org/dc/terms/" xmlns:xsi="http://www.w3.org/2001/XMLSchema-instance" xsi:type="dcterms:W3CDTF">2026-07-03T03:11:45Z</dcterms:modified>
</cp:coreProperties>
</file>